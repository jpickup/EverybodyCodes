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Users/john/Development/EverybodyCodes/resources/2025/Day14/"/>
    </mc:Choice>
  </mc:AlternateContent>
  <xr:revisionPtr revIDLastSave="0" documentId="13_ncr:1_{D579B9E3-F6D4-2D4B-BFA7-22985B76480B}" xr6:coauthVersionLast="47" xr6:coauthVersionMax="47" xr10:uidLastSave="{00000000-0000-0000-0000-000000000000}"/>
  <bookViews>
    <workbookView xWindow="13260" yWindow="8440" windowWidth="28040" windowHeight="17180" xr2:uid="{CE9952E1-6994-3D4B-A884-A6A4E0A1E6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3" i="1"/>
  <c r="E20" i="1"/>
  <c r="B20" i="1"/>
  <c r="B15" i="1"/>
  <c r="B13" i="1"/>
  <c r="B16" i="1" l="1"/>
  <c r="B17" i="1" s="1"/>
  <c r="E16" i="1"/>
  <c r="E17" i="1" s="1"/>
  <c r="E21" i="1" s="1"/>
  <c r="E22" i="1" s="1"/>
  <c r="B21" i="1"/>
  <c r="B22" i="1" s="1"/>
</calcChain>
</file>

<file path=xl/sharedStrings.xml><?xml version="1.0" encoding="utf-8"?>
<sst xmlns="http://schemas.openxmlformats.org/spreadsheetml/2006/main" count="33" uniqueCount="29">
  <si>
    <t>125 - 125 --&gt; 552</t>
  </si>
  <si>
    <t>1017 - 892 --&gt; 588</t>
  </si>
  <si>
    <t>4220 - 3203 --&gt; 552</t>
  </si>
  <si>
    <t>5112 - 892 --&gt; 588</t>
  </si>
  <si>
    <t>8315 - 3203 --&gt; 552</t>
  </si>
  <si>
    <t>9207 - 892 --&gt; 588</t>
  </si>
  <si>
    <t>12410 - 3203 --&gt; 552</t>
  </si>
  <si>
    <t>13302 - 892 --&gt; 588</t>
  </si>
  <si>
    <t>16505 - 3203 --&gt; 552</t>
  </si>
  <si>
    <t>17397 - 892 --&gt; 588</t>
  </si>
  <si>
    <t>20600 - 3203 --&gt; 552</t>
  </si>
  <si>
    <t>Start</t>
  </si>
  <si>
    <t>Each round</t>
  </si>
  <si>
    <t>* rounds</t>
  </si>
  <si>
    <t>total</t>
  </si>
  <si>
    <t>399 - 399 --&gt; 532</t>
  </si>
  <si>
    <t>2378 - 1979 --&gt; 660</t>
  </si>
  <si>
    <t>2383 - 5 --&gt; 548</t>
  </si>
  <si>
    <t>3303 - 920 --&gt; 552</t>
  </si>
  <si>
    <t>3446 - 143 --&gt; 568</t>
  </si>
  <si>
    <t>4020 - 574 --&gt; 624</t>
  </si>
  <si>
    <t>4070 - 50 --&gt; 576</t>
  </si>
  <si>
    <t>4494 - 424 --&gt; 532</t>
  </si>
  <si>
    <t>6473 - 1979 --&gt; 660</t>
  </si>
  <si>
    <t>6478 - 5 --&gt; 548</t>
  </si>
  <si>
    <t>7398 - 920 --&gt; 552</t>
  </si>
  <si>
    <t>cycles per round</t>
  </si>
  <si>
    <t>len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</si>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</sst>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DA2E-1977-154C-9E57-F349BE5A48C0}">
  <dimension ref="A1:G22"/>
  <sheetViews>
    <sheetView tabSelected="1" workbookViewId="0">
      <selection activeCell="B6" sqref="B6"/>
    </sheetView>
  </sheetViews>
  <sheetFormatPr baseColWidth="10" defaultRowHeight="16" x14ac:dyDescent="0.2"/>
  <cols>
    <col min="1" max="1" width="26" customWidth="1"/>
    <col min="5" max="5" width="16.6640625" bestFit="1" customWidth="1"/>
    <col min="6" max="6" width="5.1640625" bestFit="1" customWidth="1"/>
  </cols>
  <sheetData>
    <row r="1" spans="1:7" x14ac:dyDescent="0.2">
      <c r="A1" t="s">
        <v>0</v>
      </c>
      <c r="E1" t="s">
        <v>15</v>
      </c>
      <c r="F1" t="s">
        <v>27</v>
      </c>
      <c r="G1" t="s">
        <v>28</v>
      </c>
    </row>
    <row r="2" spans="1:7" x14ac:dyDescent="0.2">
      <c r="A2" s="1" t="s">
        <v>1</v>
      </c>
      <c r="E2" s="1" t="s">
        <v>16</v>
      </c>
      <c r="F2" s="2">
        <v>1979</v>
      </c>
      <c r="G2">
        <v>660</v>
      </c>
    </row>
    <row r="3" spans="1:7" x14ac:dyDescent="0.2">
      <c r="A3" s="1" t="s">
        <v>2</v>
      </c>
      <c r="E3" s="1" t="s">
        <v>17</v>
      </c>
      <c r="F3" s="2">
        <v>5</v>
      </c>
      <c r="G3">
        <v>548</v>
      </c>
    </row>
    <row r="4" spans="1:7" x14ac:dyDescent="0.2">
      <c r="A4" t="s">
        <v>3</v>
      </c>
      <c r="E4" s="1" t="s">
        <v>18</v>
      </c>
      <c r="F4" s="2">
        <v>920</v>
      </c>
      <c r="G4">
        <v>552</v>
      </c>
    </row>
    <row r="5" spans="1:7" x14ac:dyDescent="0.2">
      <c r="A5" t="s">
        <v>4</v>
      </c>
      <c r="E5" s="1" t="s">
        <v>19</v>
      </c>
      <c r="F5" s="2">
        <v>143</v>
      </c>
      <c r="G5">
        <v>568</v>
      </c>
    </row>
    <row r="6" spans="1:7" x14ac:dyDescent="0.2">
      <c r="A6" t="s">
        <v>5</v>
      </c>
      <c r="E6" s="1" t="s">
        <v>20</v>
      </c>
      <c r="F6" s="2">
        <v>574</v>
      </c>
      <c r="G6">
        <v>624</v>
      </c>
    </row>
    <row r="7" spans="1:7" x14ac:dyDescent="0.2">
      <c r="A7" t="s">
        <v>6</v>
      </c>
      <c r="E7" s="1" t="s">
        <v>21</v>
      </c>
      <c r="F7" s="2">
        <v>50</v>
      </c>
      <c r="G7">
        <v>576</v>
      </c>
    </row>
    <row r="8" spans="1:7" x14ac:dyDescent="0.2">
      <c r="A8" t="s">
        <v>7</v>
      </c>
      <c r="E8" s="1" t="s">
        <v>22</v>
      </c>
      <c r="F8" s="2">
        <v>424</v>
      </c>
      <c r="G8">
        <v>532</v>
      </c>
    </row>
    <row r="9" spans="1:7" x14ac:dyDescent="0.2">
      <c r="A9" t="s">
        <v>8</v>
      </c>
      <c r="E9" t="s">
        <v>23</v>
      </c>
    </row>
    <row r="10" spans="1:7" x14ac:dyDescent="0.2">
      <c r="A10" t="s">
        <v>9</v>
      </c>
      <c r="E10" t="s">
        <v>24</v>
      </c>
    </row>
    <row r="11" spans="1:7" x14ac:dyDescent="0.2">
      <c r="A11" t="s">
        <v>10</v>
      </c>
      <c r="E11" t="s">
        <v>25</v>
      </c>
    </row>
    <row r="13" spans="1:7" x14ac:dyDescent="0.2">
      <c r="A13" t="s">
        <v>26</v>
      </c>
      <c r="B13">
        <f>892+3203</f>
        <v>4095</v>
      </c>
      <c r="E13">
        <f>SUM(F2:F8)</f>
        <v>4095</v>
      </c>
    </row>
    <row r="14" spans="1:7" x14ac:dyDescent="0.2">
      <c r="B14">
        <v>1000000000</v>
      </c>
      <c r="E14">
        <v>1000000000</v>
      </c>
    </row>
    <row r="15" spans="1:7" x14ac:dyDescent="0.2">
      <c r="B15">
        <f>B14-125</f>
        <v>999999875</v>
      </c>
      <c r="E15">
        <f>E14-125</f>
        <v>999999875</v>
      </c>
    </row>
    <row r="16" spans="1:7" x14ac:dyDescent="0.2">
      <c r="B16">
        <f>B15/B13</f>
        <v>244200.21367521369</v>
      </c>
      <c r="E16">
        <f>E15/E13</f>
        <v>244200.21367521369</v>
      </c>
    </row>
    <row r="17" spans="1:5" x14ac:dyDescent="0.2">
      <c r="B17">
        <f>ROUND(B16,0)</f>
        <v>244200</v>
      </c>
      <c r="E17">
        <f>ROUND(E16,0)</f>
        <v>244200</v>
      </c>
    </row>
    <row r="19" spans="1:5" x14ac:dyDescent="0.2">
      <c r="A19" t="s">
        <v>11</v>
      </c>
      <c r="B19">
        <v>552</v>
      </c>
      <c r="D19" t="s">
        <v>11</v>
      </c>
      <c r="E19">
        <v>532</v>
      </c>
    </row>
    <row r="20" spans="1:5" x14ac:dyDescent="0.2">
      <c r="A20" t="s">
        <v>12</v>
      </c>
      <c r="B20">
        <f>588+552</f>
        <v>1140</v>
      </c>
      <c r="D20" t="s">
        <v>12</v>
      </c>
      <c r="E20">
        <f>SUM(G2:G8)</f>
        <v>4060</v>
      </c>
    </row>
    <row r="21" spans="1:5" x14ac:dyDescent="0.2">
      <c r="A21" t="s">
        <v>13</v>
      </c>
      <c r="B21">
        <f>B20*B17</f>
        <v>278388000</v>
      </c>
      <c r="D21" t="s">
        <v>13</v>
      </c>
      <c r="E21">
        <f>E20*E17</f>
        <v>991452000</v>
      </c>
    </row>
    <row r="22" spans="1:5" x14ac:dyDescent="0.2">
      <c r="A22" t="s">
        <v>14</v>
      </c>
      <c r="B22">
        <f>B21+B19</f>
        <v>278388552</v>
      </c>
      <c r="D22" t="s">
        <v>14</v>
      </c>
      <c r="E22">
        <f>E21+E19</f>
        <v>991452532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Pickup</dc:creator>
  <cp:lastModifiedBy>John Pickup</cp:lastModifiedBy>
  <dcterms:created xsi:type="dcterms:W3CDTF">2026-10-14T11:22:09Z</dcterms:created>
  <dcterms:modified xsi:type="dcterms:W3CDTF">2026-10-14T19:55:24Z</dcterms:modified>
</cp:coreProperties>
</file>